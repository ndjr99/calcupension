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f2a03b9ec56bd6/Documentos/"/>
    </mc:Choice>
  </mc:AlternateContent>
  <xr:revisionPtr revIDLastSave="0" documentId="8_{6ECE9024-1ABC-4413-9323-FC3599561C1E}" xr6:coauthVersionLast="47" xr6:coauthVersionMax="47" xr10:uidLastSave="{00000000-0000-0000-0000-000000000000}"/>
  <bookViews>
    <workbookView xWindow="-96" yWindow="0" windowWidth="11712" windowHeight="12336" xr2:uid="{70CFF8A8-EC1E-4E6F-AF6A-883442E1A2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H12" i="1"/>
  <c r="H11" i="1"/>
  <c r="H8" i="1"/>
  <c r="I8" i="1" s="1"/>
  <c r="H10" i="1"/>
  <c r="I10" i="1" s="1"/>
  <c r="H7" i="1"/>
  <c r="I7" i="1" s="1"/>
  <c r="H9" i="1"/>
  <c r="I9" i="1" s="1"/>
  <c r="H4" i="1"/>
  <c r="I4" i="1" s="1"/>
  <c r="H3" i="1"/>
  <c r="I3" i="1" s="1"/>
</calcChain>
</file>

<file path=xl/sharedStrings.xml><?xml version="1.0" encoding="utf-8"?>
<sst xmlns="http://schemas.openxmlformats.org/spreadsheetml/2006/main" count="81" uniqueCount="36">
  <si>
    <t>ENTRADAS</t>
  </si>
  <si>
    <t>SALIDAS</t>
  </si>
  <si>
    <t>Casos Normales</t>
  </si>
  <si>
    <t>IBL</t>
  </si>
  <si>
    <t>Semanas cotizadas</t>
  </si>
  <si>
    <t>Caso Normal 2</t>
  </si>
  <si>
    <t>Casos Extraordinarios</t>
  </si>
  <si>
    <t>Casos de Error</t>
  </si>
  <si>
    <t>Caso Normal 1</t>
  </si>
  <si>
    <t>Error semanas cotizadas</t>
  </si>
  <si>
    <t>Error IBL</t>
  </si>
  <si>
    <t>Edad</t>
  </si>
  <si>
    <t>Género</t>
  </si>
  <si>
    <t>Hombre</t>
  </si>
  <si>
    <t>Mujer</t>
  </si>
  <si>
    <t>Semanas de más cotizadas</t>
  </si>
  <si>
    <t>Error: el IBL debe ser mayor a 0</t>
  </si>
  <si>
    <t>Error edad mínima hombres</t>
  </si>
  <si>
    <t>Error edad mínima mujeres</t>
  </si>
  <si>
    <t>Error: debe tener al menos 62 años para pensionarse</t>
  </si>
  <si>
    <t>Error: debe tener al menos 57 años para pensionarse</t>
  </si>
  <si>
    <t>IBL menor al SMMLV</t>
  </si>
  <si>
    <t>Mesada mensual esperada</t>
  </si>
  <si>
    <t>Tasa de reemplazo</t>
  </si>
  <si>
    <t>Mayor a tasa máxima</t>
  </si>
  <si>
    <t>Tipo de pensión</t>
  </si>
  <si>
    <t>Vejez</t>
  </si>
  <si>
    <t>Sobreviviente</t>
  </si>
  <si>
    <t>Invalidez</t>
  </si>
  <si>
    <t>Pensión de sobreviviente</t>
  </si>
  <si>
    <t>Pérdida de capacidad laboral</t>
  </si>
  <si>
    <t>No aplica</t>
  </si>
  <si>
    <t>Pensión de invalidez baja</t>
  </si>
  <si>
    <t>Pensión de invalidez alta</t>
  </si>
  <si>
    <t>CASOS</t>
  </si>
  <si>
    <t>Error: las semanas cotizadas deben ser mayores o iguales a 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</si>
</sst>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;[Red]\-&quot;$&quot;#,##0.00"/>
    <numFmt numFmtId="165" formatCode="&quot;$&quot;\ 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43" fontId="1" fillId="0" borderId="0" xfId="1" applyFont="1"/>
    <xf numFmtId="165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165" fontId="0" fillId="5" borderId="0" xfId="1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165" fontId="0" fillId="5" borderId="0" xfId="1" applyNumberFormat="1" applyFon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165" fontId="0" fillId="5" borderId="2" xfId="0" applyNumberFormat="1" applyFill="1" applyBorder="1" applyAlignment="1">
      <alignment horizontal="center" vertical="center"/>
    </xf>
    <xf numFmtId="0" fontId="0" fillId="5" borderId="2" xfId="0" applyFill="1" applyBorder="1"/>
    <xf numFmtId="0" fontId="2" fillId="6" borderId="1" xfId="0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35A1-1497-4C55-A500-5F41A6A2A2F1}">
  <dimension ref="A1:L19"/>
  <sheetViews>
    <sheetView tabSelected="1" workbookViewId="0">
      <selection activeCell="J6" sqref="J6"/>
    </sheetView>
  </sheetViews>
  <sheetFormatPr baseColWidth="10" defaultRowHeight="14.4" x14ac:dyDescent="0.3"/>
  <cols>
    <col min="1" max="1" width="30.88671875" bestFit="1" customWidth="1"/>
    <col min="2" max="2" width="30.88671875" customWidth="1"/>
    <col min="3" max="3" width="13" style="6" bestFit="1" customWidth="1"/>
    <col min="5" max="5" width="13.44140625" bestFit="1" customWidth="1"/>
    <col min="7" max="7" width="16.77734375" customWidth="1"/>
    <col min="8" max="8" width="28.21875" customWidth="1"/>
    <col min="9" max="9" width="29.109375" customWidth="1"/>
  </cols>
  <sheetData>
    <row r="1" spans="1:12" x14ac:dyDescent="0.3">
      <c r="A1" s="14" t="s">
        <v>34</v>
      </c>
      <c r="B1" s="25" t="s">
        <v>0</v>
      </c>
      <c r="C1" s="25"/>
      <c r="D1" s="25"/>
      <c r="E1" s="25"/>
      <c r="F1" s="25"/>
      <c r="G1" s="25"/>
      <c r="H1" s="27" t="s">
        <v>1</v>
      </c>
      <c r="I1" s="27"/>
    </row>
    <row r="2" spans="1:12" ht="28.8" x14ac:dyDescent="0.3">
      <c r="A2" s="22" t="s">
        <v>2</v>
      </c>
      <c r="B2" s="22" t="s">
        <v>25</v>
      </c>
      <c r="C2" s="23" t="s">
        <v>3</v>
      </c>
      <c r="D2" s="24" t="s">
        <v>4</v>
      </c>
      <c r="E2" s="24" t="s">
        <v>12</v>
      </c>
      <c r="F2" s="24" t="s">
        <v>11</v>
      </c>
      <c r="G2" s="24" t="s">
        <v>30</v>
      </c>
      <c r="H2" s="24" t="s">
        <v>23</v>
      </c>
      <c r="I2" s="24" t="s">
        <v>22</v>
      </c>
      <c r="J2" s="1"/>
      <c r="K2" s="1"/>
    </row>
    <row r="3" spans="1:12" x14ac:dyDescent="0.3">
      <c r="A3" s="8" t="s">
        <v>8</v>
      </c>
      <c r="B3" s="8" t="s">
        <v>26</v>
      </c>
      <c r="C3" s="9">
        <v>3000000</v>
      </c>
      <c r="D3" s="8">
        <v>1300</v>
      </c>
      <c r="E3" s="8" t="s">
        <v>13</v>
      </c>
      <c r="F3" s="8">
        <v>62</v>
      </c>
      <c r="G3" s="8" t="s">
        <v>31</v>
      </c>
      <c r="H3" s="10">
        <f>MIN(0.8,(65.5-0.5*(C3/1750905))/100+INT((D3-1300)/50)*0.015)</f>
        <v>0.64643300179050256</v>
      </c>
      <c r="I3" s="11">
        <f>MAX(1750905, C3*H3)</f>
        <v>1939299.0053715077</v>
      </c>
      <c r="J3" s="3"/>
      <c r="K3" s="4"/>
      <c r="L3" s="4"/>
    </row>
    <row r="4" spans="1:12" x14ac:dyDescent="0.3">
      <c r="A4" s="8" t="s">
        <v>5</v>
      </c>
      <c r="B4" s="8" t="s">
        <v>26</v>
      </c>
      <c r="C4" s="9">
        <v>5000000</v>
      </c>
      <c r="D4" s="8">
        <v>1300</v>
      </c>
      <c r="E4" s="8" t="s">
        <v>14</v>
      </c>
      <c r="F4" s="8">
        <v>57</v>
      </c>
      <c r="G4" s="8" t="s">
        <v>31</v>
      </c>
      <c r="H4" s="10">
        <f>MIN(0.8,(65.5-0.5*(C4/1750905))/100+INT((D4-1300)/50)*0.015)</f>
        <v>0.64072166965083766</v>
      </c>
      <c r="I4" s="11">
        <f>MAX(1750905, C4*H4)</f>
        <v>3203608.3482541884</v>
      </c>
      <c r="J4" s="3"/>
      <c r="K4" s="4"/>
      <c r="L4" s="4"/>
    </row>
    <row r="5" spans="1:12" ht="4.2" customHeight="1" x14ac:dyDescent="0.3">
      <c r="A5" s="15"/>
      <c r="B5" s="15"/>
      <c r="C5" s="16"/>
      <c r="D5" s="17"/>
      <c r="E5" s="17"/>
      <c r="F5" s="17"/>
      <c r="G5" s="15"/>
      <c r="H5" s="19"/>
      <c r="I5" s="20"/>
      <c r="J5" s="4"/>
      <c r="K5" s="4"/>
      <c r="L5" s="4"/>
    </row>
    <row r="6" spans="1:12" ht="28.8" x14ac:dyDescent="0.3">
      <c r="A6" s="22" t="s">
        <v>6</v>
      </c>
      <c r="B6" s="22" t="s">
        <v>25</v>
      </c>
      <c r="C6" s="23" t="s">
        <v>3</v>
      </c>
      <c r="D6" s="24" t="s">
        <v>4</v>
      </c>
      <c r="E6" s="24" t="s">
        <v>12</v>
      </c>
      <c r="F6" s="24" t="s">
        <v>11</v>
      </c>
      <c r="G6" s="24" t="s">
        <v>30</v>
      </c>
      <c r="H6" s="24" t="s">
        <v>23</v>
      </c>
      <c r="I6" s="24" t="s">
        <v>22</v>
      </c>
      <c r="J6" s="4"/>
      <c r="K6" s="4"/>
      <c r="L6" s="4"/>
    </row>
    <row r="7" spans="1:12" x14ac:dyDescent="0.3">
      <c r="A7" s="8" t="s">
        <v>15</v>
      </c>
      <c r="B7" s="8" t="s">
        <v>26</v>
      </c>
      <c r="C7" s="9">
        <v>2500000</v>
      </c>
      <c r="D7" s="8">
        <v>1500</v>
      </c>
      <c r="E7" s="8" t="s">
        <v>13</v>
      </c>
      <c r="F7" s="8">
        <v>62</v>
      </c>
      <c r="G7" s="8" t="s">
        <v>31</v>
      </c>
      <c r="H7" s="10">
        <f>MIN(0.8,(65.5-0.5*(C7/1750905))/100+INT((D7-1300)/50)*0.015)</f>
        <v>0.70786083482541873</v>
      </c>
      <c r="I7" s="11">
        <f>MAX(1750905, C7*H7)</f>
        <v>1769652.0870635468</v>
      </c>
      <c r="J7" s="4"/>
      <c r="K7" s="4"/>
      <c r="L7" s="4"/>
    </row>
    <row r="8" spans="1:12" x14ac:dyDescent="0.3">
      <c r="A8" s="8" t="s">
        <v>29</v>
      </c>
      <c r="B8" s="8" t="s">
        <v>27</v>
      </c>
      <c r="C8" s="9">
        <v>3500000</v>
      </c>
      <c r="D8" s="8">
        <v>700</v>
      </c>
      <c r="E8" s="8" t="s">
        <v>13</v>
      </c>
      <c r="F8" s="8" t="s">
        <v>31</v>
      </c>
      <c r="G8" s="8" t="s">
        <v>31</v>
      </c>
      <c r="H8" s="10">
        <f>MIN(0.75,0.45+MAX(0,INT((D8-500)/50))*0.02)</f>
        <v>0.53</v>
      </c>
      <c r="I8" s="11">
        <f>MAX(1750905, C8*H8)</f>
        <v>1855000</v>
      </c>
      <c r="J8" s="5"/>
      <c r="K8" s="4"/>
      <c r="L8" s="4"/>
    </row>
    <row r="9" spans="1:12" x14ac:dyDescent="0.3">
      <c r="A9" s="8" t="s">
        <v>21</v>
      </c>
      <c r="B9" s="8" t="s">
        <v>26</v>
      </c>
      <c r="C9" s="9">
        <v>1400000</v>
      </c>
      <c r="D9" s="8">
        <v>1400</v>
      </c>
      <c r="E9" s="8" t="s">
        <v>14</v>
      </c>
      <c r="F9" s="8">
        <v>57</v>
      </c>
      <c r="G9" s="8" t="s">
        <v>31</v>
      </c>
      <c r="H9" s="10">
        <f>MIN(0.8,(65.5-0.5*(C9/1750905))/100+INT((D9-1300)/50)*0.015)</f>
        <v>0.68100206750223458</v>
      </c>
      <c r="I9" s="11">
        <f>MAX(1750905, C9*H9)</f>
        <v>1750905</v>
      </c>
      <c r="J9" s="5"/>
      <c r="K9" s="4"/>
      <c r="L9" s="4"/>
    </row>
    <row r="10" spans="1:12" x14ac:dyDescent="0.3">
      <c r="A10" s="8" t="s">
        <v>24</v>
      </c>
      <c r="B10" s="8" t="s">
        <v>26</v>
      </c>
      <c r="C10" s="9">
        <v>10000000</v>
      </c>
      <c r="D10" s="8">
        <v>2000</v>
      </c>
      <c r="E10" s="8" t="s">
        <v>13</v>
      </c>
      <c r="F10" s="8">
        <v>62</v>
      </c>
      <c r="G10" s="8" t="s">
        <v>31</v>
      </c>
      <c r="H10" s="10">
        <f>MIN(0.8,(65.5-0.5*(C10/1750905))/100+INT((D10-1300)/50)*0.015)</f>
        <v>0.8</v>
      </c>
      <c r="I10" s="11">
        <f>MAX(1750905, C10*H10)</f>
        <v>8000000</v>
      </c>
      <c r="J10" s="5"/>
      <c r="K10" s="4"/>
      <c r="L10" s="4"/>
    </row>
    <row r="11" spans="1:12" x14ac:dyDescent="0.3">
      <c r="A11" s="8" t="s">
        <v>32</v>
      </c>
      <c r="B11" s="8" t="s">
        <v>28</v>
      </c>
      <c r="C11" s="9">
        <v>2800000</v>
      </c>
      <c r="D11" s="8">
        <v>900</v>
      </c>
      <c r="E11" s="8" t="s">
        <v>14</v>
      </c>
      <c r="F11" s="8">
        <v>53</v>
      </c>
      <c r="G11" s="12">
        <v>0.65</v>
      </c>
      <c r="H11" s="10">
        <f>IF(G11&gt;66%,MIN(75%,54%+INT((D11-500)/50)*2%),MIN(75%,45%+INT((D11-500)/50)*1.5%))</f>
        <v>0.57000000000000006</v>
      </c>
      <c r="I11" s="11">
        <f>C11*H11</f>
        <v>1596000.0000000002</v>
      </c>
      <c r="J11" s="5"/>
      <c r="K11" s="4"/>
      <c r="L11" s="4"/>
    </row>
    <row r="12" spans="1:12" x14ac:dyDescent="0.3">
      <c r="A12" s="8" t="s">
        <v>33</v>
      </c>
      <c r="B12" s="8" t="s">
        <v>28</v>
      </c>
      <c r="C12" s="9">
        <v>4000000</v>
      </c>
      <c r="D12" s="8">
        <v>1000</v>
      </c>
      <c r="E12" s="8" t="s">
        <v>13</v>
      </c>
      <c r="F12" s="8">
        <v>55</v>
      </c>
      <c r="G12" s="12">
        <v>0.7</v>
      </c>
      <c r="H12" s="10">
        <f>IF(G12&gt;66%,MIN(75%,54%+INT((D12-500)/50)*2%),MIN(75%,45%+INT((D12-500)/50)*1.5%))</f>
        <v>0.74</v>
      </c>
      <c r="I12" s="11">
        <f>C12*H12</f>
        <v>2960000</v>
      </c>
      <c r="J12" s="5"/>
      <c r="K12" s="4"/>
      <c r="L12" s="4"/>
    </row>
    <row r="13" spans="1:12" ht="4.2" customHeight="1" x14ac:dyDescent="0.3">
      <c r="A13" s="15"/>
      <c r="B13" s="15"/>
      <c r="C13" s="18"/>
      <c r="D13" s="15"/>
      <c r="E13" s="15"/>
      <c r="F13" s="15"/>
      <c r="G13" s="15"/>
      <c r="H13" s="15"/>
      <c r="I13" s="21"/>
      <c r="J13" s="4"/>
      <c r="K13" s="4"/>
      <c r="L13" s="4"/>
    </row>
    <row r="14" spans="1:12" ht="28.8" x14ac:dyDescent="0.3">
      <c r="A14" s="22" t="s">
        <v>7</v>
      </c>
      <c r="B14" s="22" t="s">
        <v>25</v>
      </c>
      <c r="C14" s="23" t="s">
        <v>3</v>
      </c>
      <c r="D14" s="24" t="s">
        <v>4</v>
      </c>
      <c r="E14" s="24" t="s">
        <v>12</v>
      </c>
      <c r="F14" s="24" t="s">
        <v>11</v>
      </c>
      <c r="G14" s="24" t="s">
        <v>30</v>
      </c>
      <c r="H14" s="24" t="s">
        <v>23</v>
      </c>
      <c r="I14" s="24" t="s">
        <v>22</v>
      </c>
      <c r="J14" s="4"/>
      <c r="K14" s="4"/>
      <c r="L14" s="4"/>
    </row>
    <row r="15" spans="1:12" x14ac:dyDescent="0.3">
      <c r="A15" s="8" t="s">
        <v>10</v>
      </c>
      <c r="B15" s="8" t="s">
        <v>26</v>
      </c>
      <c r="C15" s="9">
        <v>0</v>
      </c>
      <c r="D15" s="8">
        <v>1350</v>
      </c>
      <c r="E15" s="8" t="s">
        <v>13</v>
      </c>
      <c r="F15" s="8">
        <v>63</v>
      </c>
      <c r="G15" s="8" t="s">
        <v>31</v>
      </c>
      <c r="H15" s="26" t="s">
        <v>16</v>
      </c>
      <c r="I15" s="26"/>
      <c r="J15" s="4"/>
      <c r="K15" s="4"/>
      <c r="L15" s="4"/>
    </row>
    <row r="16" spans="1:12" x14ac:dyDescent="0.3">
      <c r="A16" s="8" t="s">
        <v>9</v>
      </c>
      <c r="B16" s="8" t="s">
        <v>26</v>
      </c>
      <c r="C16" s="9">
        <v>2000000</v>
      </c>
      <c r="D16" s="8">
        <v>400</v>
      </c>
      <c r="E16" s="8" t="s">
        <v>14</v>
      </c>
      <c r="F16" s="8">
        <v>58</v>
      </c>
      <c r="G16" s="8" t="s">
        <v>31</v>
      </c>
      <c r="H16" s="26" t="s">
        <v>35</v>
      </c>
      <c r="I16" s="26"/>
      <c r="J16" s="4"/>
      <c r="K16" s="4"/>
      <c r="L16" s="4"/>
    </row>
    <row r="17" spans="1:9" x14ac:dyDescent="0.3">
      <c r="A17" s="8" t="s">
        <v>17</v>
      </c>
      <c r="B17" s="8" t="s">
        <v>26</v>
      </c>
      <c r="C17" s="13">
        <v>2700000</v>
      </c>
      <c r="D17" s="7">
        <v>1300</v>
      </c>
      <c r="E17" s="7" t="s">
        <v>13</v>
      </c>
      <c r="F17" s="7">
        <v>50</v>
      </c>
      <c r="G17" s="8" t="s">
        <v>31</v>
      </c>
      <c r="H17" s="26" t="s">
        <v>19</v>
      </c>
      <c r="I17" s="26"/>
    </row>
    <row r="18" spans="1:9" x14ac:dyDescent="0.3">
      <c r="A18" s="8" t="s">
        <v>18</v>
      </c>
      <c r="B18" s="8" t="s">
        <v>26</v>
      </c>
      <c r="C18" s="13">
        <v>4500000</v>
      </c>
      <c r="D18" s="7">
        <v>1300</v>
      </c>
      <c r="E18" s="7" t="s">
        <v>14</v>
      </c>
      <c r="F18" s="7">
        <v>45</v>
      </c>
      <c r="G18" s="8" t="s">
        <v>31</v>
      </c>
      <c r="H18" s="26" t="s">
        <v>20</v>
      </c>
      <c r="I18" s="26"/>
    </row>
    <row r="19" spans="1:9" x14ac:dyDescent="0.3">
      <c r="A19" s="2"/>
      <c r="B19" s="2"/>
    </row>
  </sheetData>
  <mergeCells count="6">
    <mergeCell ref="B1:G1"/>
    <mergeCell ref="H15:I15"/>
    <mergeCell ref="H16:I16"/>
    <mergeCell ref="H17:I17"/>
    <mergeCell ref="H18:I18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Jiménez</dc:creator>
  <cp:lastModifiedBy>Nelson Jiménez</cp:lastModifiedBy>
  <dcterms:created xsi:type="dcterms:W3CDTF">2026-02-11T14:15:18Z</dcterms:created>
  <dcterms:modified xsi:type="dcterms:W3CDTF">2026-02-16T05:48:59Z</dcterms:modified>
</cp:coreProperties>
</file>